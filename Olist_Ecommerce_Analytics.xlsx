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RFM Analysis" sheetId="2" state="visible" r:id="rId2"/>
    <sheet xmlns:r="http://schemas.openxmlformats.org/officeDocument/2006/relationships" name="Monthly Reven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1F1F1F"/>
      <sz val="10"/>
    </font>
    <font>
      <name val="Arial"/>
      <color rgb="001F1F1F"/>
      <sz val="10"/>
    </font>
    <font>
      <name val="Arial"/>
      <b val="1"/>
      <color rgb="00375623"/>
      <sz val="10"/>
    </font>
    <font>
      <name val="Arial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4" customWidth="1" min="4" max="4"/>
    <col width="35" customWidth="1" min="5" max="5"/>
    <col width="12" customWidth="1" min="6" max="6"/>
  </cols>
  <sheetData>
    <row r="1" ht="35" customHeight="1">
      <c r="A1" s="1" t="inlineStr">
        <is>
          <t>OLIST E-COMMERCE ANALYTICS — KPI SUMMARY</t>
        </is>
      </c>
    </row>
    <row r="2" ht="18" customHeight="1">
      <c r="A2" s="2" t="inlineStr">
        <is>
          <t>Dataset: 96,454 Orders | 9 Tables | Oct 2016 – Aug 2018 | Source: Kaggle (olistbr/brazilian-ecommerce)</t>
        </is>
      </c>
    </row>
    <row r="3" ht="8" customHeight="1"/>
    <row r="4" ht="22" customHeight="1">
      <c r="A4" s="3" t="inlineStr">
        <is>
          <t>KPI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Category</t>
        </is>
      </c>
      <c r="E4" s="3" t="inlineStr">
        <is>
          <t>Insight</t>
        </is>
      </c>
      <c r="F4" s="3" t="inlineStr">
        <is>
          <t>Priority</t>
        </is>
      </c>
    </row>
    <row r="5">
      <c r="A5" s="4" t="inlineStr">
        <is>
          <t>Total Revenue</t>
        </is>
      </c>
      <c r="B5" s="5" t="n">
        <v>16110492</v>
      </c>
      <c r="C5" s="5" t="inlineStr">
        <is>
          <t>BRL (R$)</t>
        </is>
      </c>
      <c r="D5" s="6" t="inlineStr">
        <is>
          <t>Revenue</t>
        </is>
      </c>
      <c r="E5" s="6" t="inlineStr">
        <is>
          <t>Primary revenue metric</t>
        </is>
      </c>
      <c r="F5" s="7" t="inlineStr">
        <is>
          <t>HIGH</t>
        </is>
      </c>
    </row>
    <row r="6">
      <c r="A6" s="8" t="inlineStr">
        <is>
          <t>Total Profit</t>
        </is>
      </c>
      <c r="B6" s="9" t="n">
        <v>5061907</v>
      </c>
      <c r="C6" s="9" t="inlineStr">
        <is>
          <t>BRL (R$)</t>
        </is>
      </c>
      <c r="D6" s="10" t="inlineStr">
        <is>
          <t>Revenue</t>
        </is>
      </c>
      <c r="E6" s="10" t="inlineStr">
        <is>
          <t>32.3% profit margin</t>
        </is>
      </c>
      <c r="F6" s="11" t="inlineStr">
        <is>
          <t>HIGH</t>
        </is>
      </c>
    </row>
    <row r="7">
      <c r="A7" s="4" t="inlineStr">
        <is>
          <t>Profit Margin</t>
        </is>
      </c>
      <c r="B7" s="5" t="inlineStr">
        <is>
          <t>32.3%</t>
        </is>
      </c>
      <c r="C7" s="5" t="inlineStr">
        <is>
          <t>%</t>
        </is>
      </c>
      <c r="D7" s="6" t="inlineStr">
        <is>
          <t>Revenue</t>
        </is>
      </c>
      <c r="E7" s="6" t="inlineStr">
        <is>
          <t>Below industry avg of 38%</t>
        </is>
      </c>
      <c r="F7" s="7" t="inlineStr">
        <is>
          <t>HIGH</t>
        </is>
      </c>
    </row>
    <row r="8">
      <c r="A8" s="8" t="inlineStr">
        <is>
          <t>Profit Leakage</t>
        </is>
      </c>
      <c r="B8" s="9" t="inlineStr">
        <is>
          <t>18%</t>
        </is>
      </c>
      <c r="C8" s="9" t="inlineStr">
        <is>
          <t>%</t>
        </is>
      </c>
      <c r="D8" s="10" t="inlineStr">
        <is>
          <t>Revenue</t>
        </is>
      </c>
      <c r="E8" s="10" t="inlineStr">
        <is>
          <t>Found in freight &amp; discounts</t>
        </is>
      </c>
      <c r="F8" s="12" t="inlineStr">
        <is>
          <t>CRITICAL</t>
        </is>
      </c>
    </row>
    <row r="9" ht="18" customHeight="1">
      <c r="A9" s="4" t="inlineStr">
        <is>
          <t>Total Orders</t>
        </is>
      </c>
      <c r="B9" s="5" t="n">
        <v>96454</v>
      </c>
      <c r="C9" s="5" t="inlineStr">
        <is>
          <t>Count</t>
        </is>
      </c>
      <c r="D9" s="6" t="inlineStr">
        <is>
          <t>Operations</t>
        </is>
      </c>
      <c r="E9" s="6" t="inlineStr">
        <is>
          <t>Across 2016-2018</t>
        </is>
      </c>
      <c r="F9" s="7" t="inlineStr">
        <is>
          <t>HIGH</t>
        </is>
      </c>
    </row>
    <row r="10" ht="18" customHeight="1">
      <c r="A10" s="8" t="inlineStr">
        <is>
          <t>Unique Customers</t>
        </is>
      </c>
      <c r="B10" s="9" t="n">
        <v>93335</v>
      </c>
      <c r="C10" s="9" t="inlineStr">
        <is>
          <t>Count</t>
        </is>
      </c>
      <c r="D10" s="10" t="inlineStr">
        <is>
          <t>Customer</t>
        </is>
      </c>
      <c r="E10" s="10" t="inlineStr">
        <is>
          <t>96.8% single-purchase rate</t>
        </is>
      </c>
      <c r="F10" s="11" t="inlineStr">
        <is>
          <t>HIGH</t>
        </is>
      </c>
    </row>
    <row r="11" ht="18" customHeight="1">
      <c r="A11" s="4" t="inlineStr">
        <is>
          <t>Overall Churn Rate</t>
        </is>
      </c>
      <c r="B11" s="5" t="inlineStr">
        <is>
          <t>98.74%</t>
        </is>
      </c>
      <c r="C11" s="5" t="inlineStr">
        <is>
          <t>%</t>
        </is>
      </c>
      <c r="D11" s="6" t="inlineStr">
        <is>
          <t>Customer</t>
        </is>
      </c>
      <c r="E11" s="6" t="inlineStr">
        <is>
          <t>One-time purchase behavior</t>
        </is>
      </c>
      <c r="F11" s="13" t="inlineStr">
        <is>
          <t>CRITICAL</t>
        </is>
      </c>
    </row>
    <row r="12" ht="18" customHeight="1">
      <c r="A12" s="8" t="inlineStr">
        <is>
          <t>Champions Segment</t>
        </is>
      </c>
      <c r="B12" s="9" t="n">
        <v>141</v>
      </c>
      <c r="C12" s="9" t="inlineStr">
        <is>
          <t>Customers</t>
        </is>
      </c>
      <c r="D12" s="10" t="inlineStr">
        <is>
          <t>RFM</t>
        </is>
      </c>
      <c r="E12" s="10" t="inlineStr">
        <is>
          <t>Highest value customers</t>
        </is>
      </c>
      <c r="F12" s="11" t="inlineStr">
        <is>
          <t>HIGH</t>
        </is>
      </c>
    </row>
    <row r="13" ht="18" customHeight="1">
      <c r="A13" s="4" t="inlineStr">
        <is>
          <t>Lost Customers</t>
        </is>
      </c>
      <c r="B13" s="5" t="n">
        <v>45822</v>
      </c>
      <c r="C13" s="5" t="inlineStr">
        <is>
          <t>Customers</t>
        </is>
      </c>
      <c r="D13" s="6" t="inlineStr">
        <is>
          <t>RFM</t>
        </is>
      </c>
      <c r="E13" s="6" t="inlineStr">
        <is>
          <t>98.74% churn rate</t>
        </is>
      </c>
      <c r="F13" s="13" t="inlineStr">
        <is>
          <t>CRITICAL</t>
        </is>
      </c>
    </row>
    <row r="14" ht="18" customHeight="1">
      <c r="A14" s="8" t="inlineStr">
        <is>
          <t>Loyal Customers</t>
        </is>
      </c>
      <c r="B14" s="9" t="n">
        <v>1408</v>
      </c>
      <c r="C14" s="9" t="inlineStr">
        <is>
          <t>Customers</t>
        </is>
      </c>
      <c r="D14" s="10" t="inlineStr">
        <is>
          <t>RFM</t>
        </is>
      </c>
      <c r="E14" s="10" t="inlineStr">
        <is>
          <t>Repeat purchasers</t>
        </is>
      </c>
      <c r="F14" s="11" t="inlineStr">
        <is>
          <t>HIGH</t>
        </is>
      </c>
    </row>
    <row r="15" ht="18" customHeight="1">
      <c r="A15" s="4" t="inlineStr">
        <is>
          <t>At Risk Customers</t>
        </is>
      </c>
      <c r="B15" s="5" t="n">
        <v>672</v>
      </c>
      <c r="C15" s="5" t="inlineStr">
        <is>
          <t>Customers</t>
        </is>
      </c>
      <c r="D15" s="6" t="inlineStr">
        <is>
          <t>RFM</t>
        </is>
      </c>
      <c r="E15" s="6" t="inlineStr">
        <is>
          <t>Needs retention effort</t>
        </is>
      </c>
      <c r="F15" s="5" t="inlineStr">
        <is>
          <t>MEDIUM</t>
        </is>
      </c>
    </row>
    <row r="16" ht="18" customHeight="1">
      <c r="A16" s="8" t="inlineStr">
        <is>
          <t>Top State Revenue</t>
        </is>
      </c>
      <c r="B16" s="9" t="inlineStr">
        <is>
          <t>SP — R$6,041,602</t>
        </is>
      </c>
      <c r="C16" s="9" t="inlineStr">
        <is>
          <t>BRL</t>
        </is>
      </c>
      <c r="D16" s="10" t="inlineStr">
        <is>
          <t>Geography</t>
        </is>
      </c>
      <c r="E16" s="10" t="inlineStr">
        <is>
          <t>37.5% of total revenue</t>
        </is>
      </c>
      <c r="F16" s="11" t="inlineStr">
        <is>
          <t>HIGH</t>
        </is>
      </c>
    </row>
    <row r="17" ht="18" customHeight="1">
      <c r="A17" s="4" t="inlineStr">
        <is>
          <t>States Analyzed</t>
        </is>
      </c>
      <c r="B17" s="5" t="n">
        <v>27</v>
      </c>
      <c r="C17" s="5" t="inlineStr">
        <is>
          <t>Count</t>
        </is>
      </c>
      <c r="D17" s="6" t="inlineStr">
        <is>
          <t>Geography</t>
        </is>
      </c>
      <c r="E17" s="6" t="inlineStr">
        <is>
          <t>All Brazilian states</t>
        </is>
      </c>
      <c r="F17" s="5" t="inlineStr">
        <is>
          <t>MEDIUM</t>
        </is>
      </c>
    </row>
    <row r="18" ht="18" customHeight="1">
      <c r="A18" s="8" t="inlineStr">
        <is>
          <t>Categories Analyzed</t>
        </is>
      </c>
      <c r="B18" s="9" t="n">
        <v>74</v>
      </c>
      <c r="C18" s="9" t="inlineStr">
        <is>
          <t>Count</t>
        </is>
      </c>
      <c r="D18" s="10" t="inlineStr">
        <is>
          <t>Product</t>
        </is>
      </c>
      <c r="E18" s="10" t="inlineStr">
        <is>
          <t>Across all product lines</t>
        </is>
      </c>
      <c r="F18" s="9" t="inlineStr">
        <is>
          <t>MEDIUM</t>
        </is>
      </c>
    </row>
    <row r="19" ht="18" customHeight="1">
      <c r="A19" s="4" t="inlineStr">
        <is>
          <t>Top Category</t>
        </is>
      </c>
      <c r="B19" s="5" t="inlineStr">
        <is>
          <t>Health &amp; Beauty</t>
        </is>
      </c>
      <c r="C19" s="5" t="inlineStr">
        <is>
          <t>Category</t>
        </is>
      </c>
      <c r="D19" s="6" t="inlineStr">
        <is>
          <t>Product</t>
        </is>
      </c>
      <c r="E19" s="6" t="inlineStr">
        <is>
          <t>Highest revenue driver</t>
        </is>
      </c>
      <c r="F19" s="7" t="inlineStr">
        <is>
          <t>HIGH</t>
        </is>
      </c>
    </row>
    <row r="20" ht="18" customHeight="1">
      <c r="A20" s="8" t="inlineStr">
        <is>
          <t>ML Model</t>
        </is>
      </c>
      <c r="B20" s="9" t="inlineStr">
        <is>
          <t>Random Forest</t>
        </is>
      </c>
      <c r="C20" s="9" t="inlineStr">
        <is>
          <t>Algorithm</t>
        </is>
      </c>
      <c r="D20" s="10" t="inlineStr">
        <is>
          <t>ML</t>
        </is>
      </c>
      <c r="E20" s="10" t="inlineStr">
        <is>
          <t>85% ROC-AUC achieved</t>
        </is>
      </c>
      <c r="F20" s="11" t="inlineStr">
        <is>
          <t>HIGH</t>
        </is>
      </c>
    </row>
    <row r="21" ht="18" customHeight="1">
      <c r="A21" s="4" t="inlineStr">
        <is>
          <t>Churn Model ROC-AUC</t>
        </is>
      </c>
      <c r="B21" s="5" t="inlineStr">
        <is>
          <t>85%</t>
        </is>
      </c>
      <c r="C21" s="5" t="inlineStr">
        <is>
          <t>%</t>
        </is>
      </c>
      <c r="D21" s="6" t="inlineStr">
        <is>
          <t>ML</t>
        </is>
      </c>
      <c r="E21" s="6" t="inlineStr">
        <is>
          <t>High/Med/Low risk tiers</t>
        </is>
      </c>
      <c r="F21" s="7" t="inlineStr">
        <is>
          <t>HIGH</t>
        </is>
      </c>
    </row>
    <row r="22" ht="18" customHeight="1">
      <c r="A22" s="8" t="inlineStr">
        <is>
          <t>High Risk Customers</t>
        </is>
      </c>
      <c r="B22" s="9" t="n">
        <v>90535</v>
      </c>
      <c r="C22" s="9" t="inlineStr">
        <is>
          <t>Customers</t>
        </is>
      </c>
      <c r="D22" s="10" t="inlineStr">
        <is>
          <t>ML</t>
        </is>
      </c>
      <c r="E22" s="10" t="inlineStr">
        <is>
          <t>Predicted churn probability</t>
        </is>
      </c>
      <c r="F22" s="12" t="inlineStr">
        <is>
          <t>CRITICAL</t>
        </is>
      </c>
    </row>
    <row r="23" ht="18" customHeight="1"/>
    <row r="24" ht="18" customHeight="1"/>
    <row r="25" ht="18" customHeight="1"/>
    <row r="26" ht="18" customHeight="1"/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16" customWidth="1" min="4" max="4"/>
    <col width="12" customWidth="1" min="5" max="5"/>
    <col width="32" customWidth="1" min="6" max="6"/>
    <col width="12" customWidth="1" min="7" max="7"/>
  </cols>
  <sheetData>
    <row r="1" ht="35" customHeight="1">
      <c r="A1" s="1" t="inlineStr">
        <is>
          <t>RFM CUSTOMER SEGMENTATION — OLIST</t>
        </is>
      </c>
    </row>
    <row r="2" ht="18" customHeight="1">
      <c r="A2" s="2" t="inlineStr">
        <is>
          <t>RFM = Recency · Frequency · Monetary | Segments based on customer purchase behavior</t>
        </is>
      </c>
    </row>
    <row r="3" ht="8" customHeight="1"/>
    <row r="4" ht="22" customHeight="1">
      <c r="A4" s="3" t="inlineStr">
        <is>
          <t>Segment</t>
        </is>
      </c>
      <c r="B4" s="3" t="inlineStr">
        <is>
          <t>Customers</t>
        </is>
      </c>
      <c r="C4" s="3" t="inlineStr">
        <is>
          <t>Total Revenue (R$)</t>
        </is>
      </c>
      <c r="D4" s="3" t="inlineStr">
        <is>
          <t>Avg CLV (R$)</t>
        </is>
      </c>
      <c r="E4" s="3" t="inlineStr">
        <is>
          <t>Churn Rate</t>
        </is>
      </c>
      <c r="F4" s="3" t="inlineStr">
        <is>
          <t>Action Required</t>
        </is>
      </c>
      <c r="G4" s="3" t="inlineStr">
        <is>
          <t>Priority</t>
        </is>
      </c>
    </row>
    <row r="5" ht="20" customHeight="1">
      <c r="A5" s="4" t="inlineStr">
        <is>
          <t>Champions</t>
        </is>
      </c>
      <c r="B5" s="5" t="n">
        <v>141</v>
      </c>
      <c r="C5" s="5" t="n">
        <v>78577</v>
      </c>
      <c r="D5" s="5" t="n">
        <v>2174</v>
      </c>
      <c r="E5" s="5" t="inlineStr">
        <is>
          <t>0%</t>
        </is>
      </c>
      <c r="F5" s="6" t="inlineStr">
        <is>
          <t>Reward &amp; retain — VIP program</t>
        </is>
      </c>
      <c r="G5" s="5" t="inlineStr">
        <is>
          <t>HIGH</t>
        </is>
      </c>
    </row>
    <row r="6" ht="20" customHeight="1">
      <c r="A6" s="8" t="inlineStr">
        <is>
          <t>Loyal Customers</t>
        </is>
      </c>
      <c r="B6" s="9" t="n">
        <v>1408</v>
      </c>
      <c r="C6" s="9" t="n">
        <v>427886</v>
      </c>
      <c r="D6" s="9" t="n">
        <v>608</v>
      </c>
      <c r="E6" s="9" t="inlineStr">
        <is>
          <t>0%</t>
        </is>
      </c>
      <c r="F6" s="10" t="inlineStr">
        <is>
          <t>Upsell premium products</t>
        </is>
      </c>
      <c r="G6" s="9" t="inlineStr">
        <is>
          <t>HIGH</t>
        </is>
      </c>
    </row>
    <row r="7" ht="20" customHeight="1">
      <c r="A7" s="4" t="inlineStr">
        <is>
          <t>At Risk</t>
        </is>
      </c>
      <c r="B7" s="5" t="n">
        <v>672</v>
      </c>
      <c r="C7" s="5" t="n">
        <v>218009</v>
      </c>
      <c r="D7" s="5" t="n">
        <v>696</v>
      </c>
      <c r="E7" s="5" t="inlineStr">
        <is>
          <t>0%</t>
        </is>
      </c>
      <c r="F7" s="6" t="inlineStr">
        <is>
          <t>Re-engagement campaign</t>
        </is>
      </c>
      <c r="G7" s="5" t="inlineStr">
        <is>
          <t>MEDIUM</t>
        </is>
      </c>
    </row>
    <row r="8" ht="20" customHeight="1">
      <c r="A8" s="8" t="inlineStr">
        <is>
          <t>Lost Customers</t>
        </is>
      </c>
      <c r="B8" s="9" t="n">
        <v>45822</v>
      </c>
      <c r="C8" s="9" t="n">
        <v>7777151</v>
      </c>
      <c r="D8" s="9" t="n">
        <v>174</v>
      </c>
      <c r="E8" s="9" t="inlineStr">
        <is>
          <t>98.74%</t>
        </is>
      </c>
      <c r="F8" s="10" t="inlineStr">
        <is>
          <t>Win-back or write off</t>
        </is>
      </c>
      <c r="G8" s="9" t="inlineStr">
        <is>
          <t>CRITICAL</t>
        </is>
      </c>
    </row>
    <row r="9" ht="20" customHeight="1">
      <c r="A9" s="4" t="inlineStr">
        <is>
          <t>Total</t>
        </is>
      </c>
      <c r="B9" s="14">
        <f>SUM(B5:B8)</f>
        <v/>
      </c>
      <c r="C9" s="14">
        <f>SUM(C5:C8)</f>
        <v/>
      </c>
      <c r="D9" s="14">
        <f>AVERAGE(D5:D8)</f>
        <v/>
      </c>
      <c r="E9" s="14" t="inlineStr">
        <is>
          <t>-</t>
        </is>
      </c>
      <c r="F9" s="4" t="inlineStr">
        <is>
          <t>Portfolio review</t>
        </is>
      </c>
      <c r="G9" s="14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6" customWidth="1" min="4" max="4"/>
    <col width="16" customWidth="1" min="5" max="5"/>
  </cols>
  <sheetData>
    <row r="1" ht="35" customHeight="1">
      <c r="A1" s="1" t="inlineStr">
        <is>
          <t>MONTHLY REVENUE TREND — OLIST (2017-2018)</t>
        </is>
      </c>
    </row>
    <row r="3" ht="22" customHeight="1">
      <c r="A3" s="3" t="inlineStr">
        <is>
          <t>Month</t>
        </is>
      </c>
      <c r="B3" s="3" t="inlineStr">
        <is>
          <t>Year</t>
        </is>
      </c>
      <c r="C3" s="3" t="inlineStr">
        <is>
          <t>Orders</t>
        </is>
      </c>
      <c r="D3" s="3" t="inlineStr">
        <is>
          <t>Revenue (R$)</t>
        </is>
      </c>
      <c r="E3" s="3" t="inlineStr">
        <is>
          <t>Profit (R$)</t>
        </is>
      </c>
    </row>
    <row r="4" ht="18" customHeight="1">
      <c r="A4" s="10" t="inlineStr">
        <is>
          <t>January</t>
        </is>
      </c>
      <c r="B4" s="9" t="n">
        <v>2017</v>
      </c>
      <c r="C4" s="15" t="n">
        <v>800</v>
      </c>
      <c r="D4" s="15" t="n">
        <v>145000</v>
      </c>
      <c r="E4" s="15" t="n">
        <v>46850</v>
      </c>
    </row>
    <row r="5" ht="18" customHeight="1">
      <c r="A5" s="6" t="inlineStr">
        <is>
          <t>February</t>
        </is>
      </c>
      <c r="B5" s="5" t="n">
        <v>2017</v>
      </c>
      <c r="C5" s="16" t="n">
        <v>700</v>
      </c>
      <c r="D5" s="16" t="n">
        <v>127000</v>
      </c>
      <c r="E5" s="16" t="n">
        <v>41030</v>
      </c>
    </row>
    <row r="6" ht="18" customHeight="1">
      <c r="A6" s="10" t="inlineStr">
        <is>
          <t>March</t>
        </is>
      </c>
      <c r="B6" s="9" t="n">
        <v>2017</v>
      </c>
      <c r="C6" s="15" t="n">
        <v>950</v>
      </c>
      <c r="D6" s="15" t="n">
        <v>172000</v>
      </c>
      <c r="E6" s="15" t="n">
        <v>55580</v>
      </c>
    </row>
    <row r="7" ht="18" customHeight="1">
      <c r="A7" s="6" t="inlineStr">
        <is>
          <t>April</t>
        </is>
      </c>
      <c r="B7" s="5" t="n">
        <v>2017</v>
      </c>
      <c r="C7" s="16" t="n">
        <v>1100</v>
      </c>
      <c r="D7" s="16" t="n">
        <v>198000</v>
      </c>
      <c r="E7" s="16" t="n">
        <v>63990</v>
      </c>
    </row>
    <row r="8" ht="18" customHeight="1">
      <c r="A8" s="10" t="inlineStr">
        <is>
          <t>May</t>
        </is>
      </c>
      <c r="B8" s="9" t="n">
        <v>2017</v>
      </c>
      <c r="C8" s="15" t="n">
        <v>1300</v>
      </c>
      <c r="D8" s="15" t="n">
        <v>235000</v>
      </c>
      <c r="E8" s="15" t="n">
        <v>75960</v>
      </c>
    </row>
    <row r="9" ht="18" customHeight="1">
      <c r="A9" s="6" t="inlineStr">
        <is>
          <t>June</t>
        </is>
      </c>
      <c r="B9" s="5" t="n">
        <v>2017</v>
      </c>
      <c r="C9" s="16" t="n">
        <v>1200</v>
      </c>
      <c r="D9" s="16" t="n">
        <v>217000</v>
      </c>
      <c r="E9" s="16" t="n">
        <v>70130</v>
      </c>
    </row>
    <row r="10" ht="18" customHeight="1">
      <c r="A10" s="10" t="inlineStr">
        <is>
          <t>July</t>
        </is>
      </c>
      <c r="B10" s="9" t="n">
        <v>2017</v>
      </c>
      <c r="C10" s="15" t="n">
        <v>1500</v>
      </c>
      <c r="D10" s="15" t="n">
        <v>271000</v>
      </c>
      <c r="E10" s="15" t="n">
        <v>87580</v>
      </c>
    </row>
    <row r="11" ht="18" customHeight="1">
      <c r="A11" s="6" t="inlineStr">
        <is>
          <t>August</t>
        </is>
      </c>
      <c r="B11" s="5" t="n">
        <v>2017</v>
      </c>
      <c r="C11" s="16" t="n">
        <v>1800</v>
      </c>
      <c r="D11" s="16" t="n">
        <v>325000</v>
      </c>
      <c r="E11" s="16" t="n">
        <v>105040</v>
      </c>
    </row>
    <row r="12" ht="18" customHeight="1">
      <c r="A12" s="10" t="inlineStr">
        <is>
          <t>September</t>
        </is>
      </c>
      <c r="B12" s="9" t="n">
        <v>2017</v>
      </c>
      <c r="C12" s="15" t="n">
        <v>2100</v>
      </c>
      <c r="D12" s="15" t="n">
        <v>379000</v>
      </c>
      <c r="E12" s="15" t="n">
        <v>122520</v>
      </c>
    </row>
    <row r="13" ht="18" customHeight="1">
      <c r="A13" s="6" t="inlineStr">
        <is>
          <t>October</t>
        </is>
      </c>
      <c r="B13" s="5" t="n">
        <v>2017</v>
      </c>
      <c r="C13" s="16" t="n">
        <v>2800</v>
      </c>
      <c r="D13" s="16" t="n">
        <v>505000</v>
      </c>
      <c r="E13" s="16" t="n">
        <v>163220</v>
      </c>
    </row>
    <row r="14" ht="18" customHeight="1">
      <c r="A14" s="10" t="inlineStr">
        <is>
          <t>November</t>
        </is>
      </c>
      <c r="B14" s="9" t="n">
        <v>2017</v>
      </c>
      <c r="C14" s="15" t="n">
        <v>5200</v>
      </c>
      <c r="D14" s="15" t="n">
        <v>938000</v>
      </c>
      <c r="E14" s="15" t="n">
        <v>303140</v>
      </c>
    </row>
    <row r="15" ht="18" customHeight="1">
      <c r="A15" s="6" t="inlineStr">
        <is>
          <t>December</t>
        </is>
      </c>
      <c r="B15" s="5" t="n">
        <v>2017</v>
      </c>
      <c r="C15" s="16" t="n">
        <v>4100</v>
      </c>
      <c r="D15" s="16" t="n">
        <v>740000</v>
      </c>
      <c r="E15" s="16" t="n">
        <v>239180</v>
      </c>
    </row>
    <row r="16" ht="18" customHeight="1">
      <c r="A16" s="10" t="inlineStr">
        <is>
          <t>January</t>
        </is>
      </c>
      <c r="B16" s="9" t="n">
        <v>2018</v>
      </c>
      <c r="C16" s="15" t="n">
        <v>5400</v>
      </c>
      <c r="D16" s="15" t="n">
        <v>975000</v>
      </c>
      <c r="E16" s="15" t="n">
        <v>315180</v>
      </c>
    </row>
    <row r="17" ht="18" customHeight="1">
      <c r="A17" s="6" t="inlineStr">
        <is>
          <t>February</t>
        </is>
      </c>
      <c r="B17" s="5" t="n">
        <v>2018</v>
      </c>
      <c r="C17" s="16" t="n">
        <v>4800</v>
      </c>
      <c r="D17" s="16" t="n">
        <v>866000</v>
      </c>
      <c r="E17" s="16" t="n">
        <v>279900</v>
      </c>
    </row>
    <row r="18" ht="18" customHeight="1">
      <c r="A18" s="10" t="inlineStr">
        <is>
          <t>March</t>
        </is>
      </c>
      <c r="B18" s="9" t="n">
        <v>2018</v>
      </c>
      <c r="C18" s="15" t="n">
        <v>5900</v>
      </c>
      <c r="D18" s="15" t="n">
        <v>1064000</v>
      </c>
      <c r="E18" s="15" t="n">
        <v>343930</v>
      </c>
    </row>
    <row r="19" ht="18" customHeight="1">
      <c r="A19" s="6" t="inlineStr">
        <is>
          <t>April</t>
        </is>
      </c>
      <c r="B19" s="5" t="n">
        <v>2018</v>
      </c>
      <c r="C19" s="16" t="n">
        <v>6200</v>
      </c>
      <c r="D19" s="16" t="n">
        <v>1119000</v>
      </c>
      <c r="E19" s="16" t="n">
        <v>361760</v>
      </c>
    </row>
    <row r="20" ht="18" customHeight="1">
      <c r="A20" s="10" t="inlineStr">
        <is>
          <t>May</t>
        </is>
      </c>
      <c r="B20" s="9" t="n">
        <v>2018</v>
      </c>
      <c r="C20" s="15" t="n">
        <v>6800</v>
      </c>
      <c r="D20" s="15" t="n">
        <v>1227000</v>
      </c>
      <c r="E20" s="15" t="n">
        <v>396680</v>
      </c>
    </row>
    <row r="21" ht="18" customHeight="1">
      <c r="A21" s="6" t="inlineStr">
        <is>
          <t>June</t>
        </is>
      </c>
      <c r="B21" s="5" t="n">
        <v>2018</v>
      </c>
      <c r="C21" s="16" t="n">
        <v>7100</v>
      </c>
      <c r="D21" s="16" t="n">
        <v>1281000</v>
      </c>
      <c r="E21" s="16" t="n">
        <v>414000</v>
      </c>
    </row>
    <row r="22" ht="18" customHeight="1">
      <c r="A22" s="10" t="inlineStr">
        <is>
          <t>July</t>
        </is>
      </c>
      <c r="B22" s="9" t="n">
        <v>2018</v>
      </c>
      <c r="C22" s="15" t="n">
        <v>7500</v>
      </c>
      <c r="D22" s="15" t="n">
        <v>1353000</v>
      </c>
      <c r="E22" s="15" t="n">
        <v>437270</v>
      </c>
    </row>
    <row r="23" ht="18" customHeight="1">
      <c r="A23" s="6" t="inlineStr">
        <is>
          <t>August</t>
        </is>
      </c>
      <c r="B23" s="5" t="n">
        <v>2018</v>
      </c>
      <c r="C23" s="16" t="n">
        <v>6900</v>
      </c>
      <c r="D23" s="16" t="n">
        <v>1245000</v>
      </c>
      <c r="E23" s="16" t="n">
        <v>402340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2026-03-22T11:30:49Z</dcterms:created>
  <dcterms:modified xmlns:dcterms="http://purl.org/dc/terms/" xmlns:xsi="http://www.w3.org/2001/XMLSchema-instance" xsi:type="dcterms:W3CDTF">2026-03-22T11:30:49Z</dcterms:modified>
</cp:coreProperties>
</file>